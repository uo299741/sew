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7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8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\Downloads\MotoGP-DesktopUltimoTrasDetallesIndexEsESTEEEEE\MotoGP-Desktop\"/>
    </mc:Choice>
  </mc:AlternateContent>
  <xr:revisionPtr revIDLastSave="0" documentId="13_ncr:1_{BCF9761F-49BB-4FA9-BC75-C80ABA3ADD97}" xr6:coauthVersionLast="47" xr6:coauthVersionMax="47" xr10:uidLastSave="{00000000-0000-0000-0000-000000000000}"/>
  <bookViews>
    <workbookView xWindow="-98" yWindow="-98" windowWidth="21795" windowHeight="12975" xr2:uid="{31A22BBF-32AF-45C4-8D4C-80E9E2BD4587}"/>
  </bookViews>
  <sheets>
    <sheet name="Hoja3" sheetId="4" r:id="rId1"/>
  </sheets>
  <definedNames>
    <definedName name="_xlchart.v1.0" hidden="1">Hoja3!$B$112:$B$114</definedName>
    <definedName name="_xlchart.v1.1" hidden="1">Hoja3!$C$112:$C$114</definedName>
    <definedName name="_xlchart.v1.10" hidden="1">Hoja3!$B$128:$B$132</definedName>
    <definedName name="_xlchart.v1.11" hidden="1">Hoja3!$C$128:$C$132</definedName>
    <definedName name="_xlchart.v1.12" hidden="1">Hoja3!$B$44:$B$48</definedName>
    <definedName name="_xlchart.v1.13" hidden="1">Hoja3!$C$44:$C$48</definedName>
    <definedName name="_xlchart.v1.14" hidden="1">Hoja3!$B$100:$B$104</definedName>
    <definedName name="_xlchart.v1.15" hidden="1">Hoja3!$C$100:$C$104</definedName>
    <definedName name="_xlchart.v1.16" hidden="1">Hoja3!$B$72:$B$76</definedName>
    <definedName name="_xlchart.v1.17" hidden="1">Hoja3!$C$72:$C$76</definedName>
    <definedName name="_xlchart.v1.2" hidden="1">Hoja3!$B$140:$B$142</definedName>
    <definedName name="_xlchart.v1.3" hidden="1">Hoja3!$C$140:$C$142</definedName>
    <definedName name="_xlchart.v1.4" hidden="1">Hoja3!$B$84:$B$86</definedName>
    <definedName name="_xlchart.v1.5" hidden="1">Hoja3!$C$84:$C$86</definedName>
    <definedName name="_xlchart.v1.6" hidden="1">Hoja3!$B$100:$B$104</definedName>
    <definedName name="_xlchart.v1.7" hidden="1">Hoja3!$C$100:$C$104</definedName>
    <definedName name="_xlchart.v1.8" hidden="1">Hoja3!$B$56:$B$58</definedName>
    <definedName name="_xlchart.v1.9" hidden="1">Hoja3!$C$56:$C$58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8" i="4" l="1"/>
  <c r="F159" i="4"/>
  <c r="F160" i="4"/>
  <c r="F161" i="4"/>
  <c r="F162" i="4"/>
  <c r="F163" i="4"/>
  <c r="F157" i="4"/>
  <c r="E158" i="4"/>
  <c r="E159" i="4"/>
  <c r="E157" i="4"/>
  <c r="D158" i="4"/>
  <c r="D159" i="4"/>
  <c r="D157" i="4"/>
  <c r="C157" i="4"/>
  <c r="C144" i="4"/>
  <c r="C116" i="4"/>
  <c r="C88" i="4"/>
  <c r="C60" i="4"/>
  <c r="C125" i="4"/>
  <c r="C128" i="4"/>
  <c r="C129" i="4"/>
  <c r="C130" i="4"/>
  <c r="C131" i="4"/>
  <c r="C132" i="4"/>
  <c r="C104" i="4"/>
  <c r="C135" i="4"/>
  <c r="C136" i="4"/>
  <c r="C137" i="4"/>
  <c r="C109" i="4"/>
  <c r="C142" i="4"/>
  <c r="C141" i="4"/>
  <c r="C140" i="4"/>
  <c r="C112" i="4"/>
  <c r="C146" i="4"/>
  <c r="C118" i="4"/>
  <c r="C148" i="4"/>
  <c r="C120" i="4"/>
  <c r="C62" i="4"/>
  <c r="C114" i="4"/>
  <c r="C113" i="4"/>
  <c r="C108" i="4"/>
  <c r="C107" i="4"/>
  <c r="C51" i="4"/>
  <c r="C100" i="4"/>
  <c r="C101" i="4"/>
  <c r="C102" i="4"/>
  <c r="C103" i="4"/>
  <c r="C44" i="4"/>
  <c r="C97" i="4"/>
  <c r="C41" i="4"/>
  <c r="C92" i="4"/>
  <c r="C90" i="4"/>
  <c r="C86" i="4"/>
  <c r="C85" i="4"/>
  <c r="C84" i="4"/>
  <c r="C81" i="4"/>
  <c r="C80" i="4"/>
  <c r="C79" i="4"/>
  <c r="C72" i="4"/>
  <c r="C73" i="4"/>
  <c r="C75" i="4"/>
  <c r="C76" i="4"/>
  <c r="C74" i="4"/>
  <c r="C69" i="4"/>
  <c r="C58" i="4"/>
  <c r="C57" i="4"/>
  <c r="C56" i="4"/>
  <c r="C53" i="4"/>
  <c r="C52" i="4"/>
  <c r="C64" i="4"/>
  <c r="C48" i="4"/>
  <c r="C47" i="4"/>
  <c r="C46" i="4"/>
  <c r="C4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2FDB53-499A-4178-A2FF-0BEE0D8D1ADA}" keepAlive="1" name="Consulta - datos" description="Conexión a la consulta 'datos' en el libro." type="5" refreshedVersion="0" background="1">
    <dbPr connection="Provider=Microsoft.Mashup.OleDb.1;Data Source=$Workbook$;Location=datos;Extended Properties=&quot;&quot;" command="SELECT * FROM [datos]"/>
  </connection>
</connections>
</file>

<file path=xl/sharedStrings.xml><?xml version="1.0" encoding="utf-8"?>
<sst xmlns="http://schemas.openxmlformats.org/spreadsheetml/2006/main" count="358" uniqueCount="121">
  <si>
    <t>tabla</t>
  </si>
  <si>
    <t>usuario_id</t>
  </si>
  <si>
    <t>profesion</t>
  </si>
  <si>
    <t>edad</t>
  </si>
  <si>
    <t>genero</t>
  </si>
  <si>
    <t>pericia_informatica</t>
  </si>
  <si>
    <t/>
  </si>
  <si>
    <t>Usuario</t>
  </si>
  <si>
    <t>1</t>
  </si>
  <si>
    <t>estudiante</t>
  </si>
  <si>
    <t>Hombre</t>
  </si>
  <si>
    <t>Alta</t>
  </si>
  <si>
    <t>2</t>
  </si>
  <si>
    <t>orientadora</t>
  </si>
  <si>
    <t>Mujer</t>
  </si>
  <si>
    <t>Media</t>
  </si>
  <si>
    <t>3</t>
  </si>
  <si>
    <t>Profesor</t>
  </si>
  <si>
    <t>Baja</t>
  </si>
  <si>
    <t>4</t>
  </si>
  <si>
    <t>43</t>
  </si>
  <si>
    <t>5</t>
  </si>
  <si>
    <t>Ama de casa</t>
  </si>
  <si>
    <t>6</t>
  </si>
  <si>
    <t>Estudiante</t>
  </si>
  <si>
    <t>7</t>
  </si>
  <si>
    <t>Analista</t>
  </si>
  <si>
    <t>dispositivo_id</t>
  </si>
  <si>
    <t>tipo</t>
  </si>
  <si>
    <t>Dispositivo</t>
  </si>
  <si>
    <t>tableta</t>
  </si>
  <si>
    <t>ordenador</t>
  </si>
  <si>
    <t>teléfono</t>
  </si>
  <si>
    <t>resultado_usabilidad_id</t>
  </si>
  <si>
    <t>formulario_id</t>
  </si>
  <si>
    <t>tiempo_tardado</t>
  </si>
  <si>
    <t>tarea_completada</t>
  </si>
  <si>
    <t>comentarios</t>
  </si>
  <si>
    <t>propuestas_mejora</t>
  </si>
  <si>
    <t>valoracion</t>
  </si>
  <si>
    <t>ResultadosUsabilidad</t>
  </si>
  <si>
    <t>navegación sencilla</t>
  </si>
  <si>
    <t>se podría aclarar más información en la sección de recorrido</t>
  </si>
  <si>
    <t xml:space="preserve">La página de consulta es de gran ayuda para pasar el test con éxito. </t>
  </si>
  <si>
    <t>Añadir información en la introducción de la sección del piloto.</t>
  </si>
  <si>
    <t>Dificultad media.</t>
  </si>
  <si>
    <t>Añadir más detalles en los conceptos definidos.</t>
  </si>
  <si>
    <t>Se corresponde con la información aportada.</t>
  </si>
  <si>
    <t>Ninguna</t>
  </si>
  <si>
    <t>Sencilla.</t>
  </si>
  <si>
    <t>Todo correcto.</t>
  </si>
  <si>
    <t>No muy complicada.</t>
  </si>
  <si>
    <t>Poner más datos en la introducción del piloto.</t>
  </si>
  <si>
    <t>Formulario fácil</t>
  </si>
  <si>
    <t>No tengo propuestas.</t>
  </si>
  <si>
    <t>observacion_id</t>
  </si>
  <si>
    <t>ObservacionesFacilitador</t>
  </si>
  <si>
    <t>Se hace intituitivamente.</t>
  </si>
  <si>
    <t>Se hace con facilidad, teniendo en cuenta la pericia informática del usuario.</t>
  </si>
  <si>
    <t>Se hace de manera intuitiva.</t>
  </si>
  <si>
    <t>Alguna respuesta errónea.</t>
  </si>
  <si>
    <t>Todo bien.</t>
  </si>
  <si>
    <t>Se hace sin problemas.</t>
  </si>
  <si>
    <t>Sin complicaciones.</t>
  </si>
  <si>
    <t>respuesta_uno</t>
  </si>
  <si>
    <t>respuesta_dos</t>
  </si>
  <si>
    <t>respuesta_tres</t>
  </si>
  <si>
    <t>respuesta_cuatro</t>
  </si>
  <si>
    <t>respuesta_cinco</t>
  </si>
  <si>
    <t>respuesta_seis</t>
  </si>
  <si>
    <t>respuesta_siete</t>
  </si>
  <si>
    <t>respuesta_ocho</t>
  </si>
  <si>
    <t>respuesta_nueve</t>
  </si>
  <si>
    <t>respuesta_diez</t>
  </si>
  <si>
    <t>Formulario</t>
  </si>
  <si>
    <t>Prima Pramac Racing</t>
  </si>
  <si>
    <t>RZT Racing</t>
  </si>
  <si>
    <t>AUS</t>
  </si>
  <si>
    <t>87</t>
  </si>
  <si>
    <t>14</t>
  </si>
  <si>
    <t>0</t>
  </si>
  <si>
    <t>64</t>
  </si>
  <si>
    <t>MOTO GP Prima Pramac Racing con una Yamaha YZR-M1</t>
  </si>
  <si>
    <t>yamaha</t>
  </si>
  <si>
    <t>ES</t>
  </si>
  <si>
    <t>En ducati</t>
  </si>
  <si>
    <t>100</t>
  </si>
  <si>
    <t>Pramac Racing</t>
  </si>
  <si>
    <t>Frecuencias en % de intervalos de edad:</t>
  </si>
  <si>
    <t>0-20 años</t>
  </si>
  <si>
    <t>20-30 años</t>
  </si>
  <si>
    <t>30-40 años</t>
  </si>
  <si>
    <t>40-65 años</t>
  </si>
  <si>
    <t>Más de 65 años</t>
  </si>
  <si>
    <t>Frecuencia del % de cada tipo de género</t>
  </si>
  <si>
    <t>Otro</t>
  </si>
  <si>
    <t>Frecuencias en % de intervalos de pericia informática:</t>
  </si>
  <si>
    <t>Tiempo medio</t>
  </si>
  <si>
    <t>Porcentaje de usuarios que han completado</t>
  </si>
  <si>
    <t>Valor medio de la puntuación de los usuarios sobre la aplicación</t>
  </si>
  <si>
    <t>Edad media (años)</t>
  </si>
  <si>
    <t>Estadísticas globales</t>
  </si>
  <si>
    <t>Estadísticas tanda 2</t>
  </si>
  <si>
    <t>Estadísticas tanda 3</t>
  </si>
  <si>
    <t>Estadísticas tanda 1 (usuario experto)</t>
  </si>
  <si>
    <t>Tiempo medio global</t>
  </si>
  <si>
    <t>Tiempo medio tanda 3</t>
  </si>
  <si>
    <t>Tiempo medio tanda 2</t>
  </si>
  <si>
    <t>Tiempo medio tanda 1 (usuario experto)</t>
  </si>
  <si>
    <t>Global</t>
  </si>
  <si>
    <t>Tanda 2</t>
  </si>
  <si>
    <t>Tanda 3</t>
  </si>
  <si>
    <t>Tanda 1</t>
  </si>
  <si>
    <t>Usuario 1</t>
  </si>
  <si>
    <t>Usuario 2</t>
  </si>
  <si>
    <t>Usuario 3</t>
  </si>
  <si>
    <t>-</t>
  </si>
  <si>
    <t>Usuario 4</t>
  </si>
  <si>
    <t>Usuario 5</t>
  </si>
  <si>
    <t>Usuario 6</t>
  </si>
  <si>
    <t>Usuario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</si>
</sst>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10" xfId="0" applyFont="1" applyBorder="1" applyAlignment="1">
      <alignment horizontal="left"/>
    </xf>
    <xf numFmtId="2" fontId="0" fillId="0" borderId="5" xfId="0" applyNumberFormat="1" applyBorder="1"/>
    <xf numFmtId="10" fontId="0" fillId="0" borderId="1" xfId="1" applyNumberFormat="1" applyFont="1" applyBorder="1"/>
    <xf numFmtId="10" fontId="0" fillId="0" borderId="4" xfId="1" applyNumberFormat="1" applyFont="1" applyBorder="1"/>
    <xf numFmtId="10" fontId="0" fillId="0" borderId="2" xfId="1" applyNumberFormat="1" applyFont="1" applyBorder="1"/>
    <xf numFmtId="2" fontId="0" fillId="0" borderId="2" xfId="0" applyNumberFormat="1" applyBorder="1"/>
    <xf numFmtId="0" fontId="0" fillId="0" borderId="6" xfId="0" applyBorder="1"/>
    <xf numFmtId="1" fontId="0" fillId="0" borderId="5" xfId="0" applyNumberFormat="1" applyBorder="1"/>
    <xf numFmtId="47" fontId="0" fillId="0" borderId="0" xfId="0" applyNumberFormat="1" applyAlignment="1">
      <alignment horizontal="center"/>
    </xf>
    <xf numFmtId="47" fontId="0" fillId="0" borderId="3" xfId="0" applyNumberFormat="1" applyBorder="1" applyAlignment="1">
      <alignment horizontal="center"/>
    </xf>
    <xf numFmtId="47" fontId="0" fillId="0" borderId="2" xfId="0" applyNumberFormat="1" applyBorder="1"/>
    <xf numFmtId="47" fontId="0" fillId="0" borderId="1" xfId="0" applyNumberFormat="1" applyBorder="1" applyAlignment="1">
      <alignment horizontal="center"/>
    </xf>
    <xf numFmtId="47" fontId="0" fillId="0" borderId="4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7" fontId="0" fillId="0" borderId="9" xfId="0" applyNumberForma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Frecuencia del % de cada tipo de género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09-4D8A-9F75-2A7F15FEF5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09-4D8A-9F75-2A7F15FEF5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09-4D8A-9F75-2A7F15FEF5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Hoja3!$B$51:$B$53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Otro</c:v>
                </c:pt>
              </c:strCache>
            </c:strRef>
          </c:cat>
          <c:val>
            <c:numRef>
              <c:f>Hoja3!$C$51:$C$53</c:f>
              <c:numCache>
                <c:formatCode>0.00%</c:formatCode>
                <c:ptCount val="3"/>
                <c:pt idx="0">
                  <c:v>0.42857142857142855</c:v>
                </c:pt>
                <c:pt idx="1">
                  <c:v>0.5714285714285714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C-47F0-867E-1FB8C37AB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Frecuencia del % de cada tipo de género tanda 1</a:t>
            </a:r>
            <a:r>
              <a:rPr lang="es-ES" baseline="0"/>
              <a:t> (usuario experto)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9F-4432-ADBB-31F8886AF2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9F-4432-ADBB-31F8886AF2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9F-4432-ADBB-31F8886AF2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Hoja3!$B$79:$B$81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Otro</c:v>
                </c:pt>
              </c:strCache>
            </c:strRef>
          </c:cat>
          <c:val>
            <c:numRef>
              <c:f>Hoja3!$C$79:$C$81</c:f>
              <c:numCache>
                <c:formatCode>0.00%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C-490F-BFA5-FB8BA489E50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Frecuencia del % de cada tipo de género tanda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04-4121-9453-2C41F16419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04-4121-9453-2C41F16419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04-4121-9453-2C41F16419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Hoja3!$B$107:$B$109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Otro</c:v>
                </c:pt>
              </c:strCache>
            </c:strRef>
          </c:cat>
          <c:val>
            <c:numRef>
              <c:f>Hoja3!$C$107:$C$109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0.66666666666666663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E-4C6B-AA3D-2B502E505E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Frecuencia del % de cada tipo de género tanda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1A-4685-B7E3-9B33EA3E4E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1A-4685-B7E3-9B33EA3E4E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1A-4685-B7E3-9B33EA3E4E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Hoja3!$B$135:$B$137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Otro</c:v>
                </c:pt>
              </c:strCache>
            </c:strRef>
          </c:cat>
          <c:val>
            <c:numRef>
              <c:f>Hoja3!$C$135:$C$137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0.66666666666666663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3-4EC6-9A88-0717A4683D4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medio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Hoja3!$F$156</c:f>
              <c:strCache>
                <c:ptCount val="1"/>
                <c:pt idx="0">
                  <c:v>Global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Hoja3!$C$157:$E$163</c:f>
              <c:multiLvlStrCache>
                <c:ptCount val="7"/>
                <c:lvl>
                  <c:pt idx="0">
                    <c:v>02:25,1</c:v>
                  </c:pt>
                  <c:pt idx="1">
                    <c:v>01:55,2</c:v>
                  </c:pt>
                  <c:pt idx="2">
                    <c:v>01:50,2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</c:lvl>
                <c:lvl>
                  <c:pt idx="0">
                    <c:v>03:55,3</c:v>
                  </c:pt>
                  <c:pt idx="1">
                    <c:v>02:51,5</c:v>
                  </c:pt>
                  <c:pt idx="2">
                    <c:v>02:31,5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</c:lvl>
                <c:lvl>
                  <c:pt idx="0">
                    <c:v>01:37,8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</c:lvl>
              </c:multiLvlStrCache>
            </c:multiLvlStrRef>
          </c:cat>
          <c:val>
            <c:numRef>
              <c:f>Hoja3!$F$157:$F$163</c:f>
              <c:numCache>
                <c:formatCode>mm:ss.0</c:formatCode>
                <c:ptCount val="7"/>
                <c:pt idx="0">
                  <c:v>1.1319444444444443E-3</c:v>
                </c:pt>
                <c:pt idx="1">
                  <c:v>2.7233796296296298E-3</c:v>
                </c:pt>
                <c:pt idx="2">
                  <c:v>1.9849537037037036E-3</c:v>
                </c:pt>
                <c:pt idx="3">
                  <c:v>1.7534722222222222E-3</c:v>
                </c:pt>
                <c:pt idx="4">
                  <c:v>1.6793981481481482E-3</c:v>
                </c:pt>
                <c:pt idx="5">
                  <c:v>1.3333333333333333E-3</c:v>
                </c:pt>
                <c:pt idx="6">
                  <c:v>1.2754629629629631E-3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C-44C0-95F0-FD28F8D004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33640640"/>
        <c:axId val="333629600"/>
      </c:lineChart>
      <c:catAx>
        <c:axId val="333640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3629600"/>
        <c:crosses val="autoZero"/>
        <c:auto val="1"/>
        <c:lblAlgn val="ctr"/>
        <c:lblOffset val="100"/>
        <c:noMultiLvlLbl val="0"/>
      </c:catAx>
      <c:valAx>
        <c:axId val="33362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364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_xlchart.v1.13</cx:f>
      </cx:numDim>
    </cx:data>
  </cx:chartData>
  <cx:chart>
    <cx:title pos="t" align="ctr" overlay="0">
      <cx:tx>
        <cx:txData>
          <cx:v>Frecuencias en % de intervalos de edad global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Frecuencias en % de intervalos de edad global</a:t>
          </a:r>
        </a:p>
      </cx:txPr>
    </cx:title>
    <cx:plotArea>
      <cx:plotAreaRegion>
        <cx:series layoutId="clusteredColumn" uniqueId="{7352E707-0933-405F-BF1A-BE8CD783FBDC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0BE85971-2C65-4E5F-9C01-0DCEE889E06A}">
          <cx:spPr>
            <a:ln>
              <a:noFill/>
            </a:ln>
          </cx:spPr>
          <cx:axisId val="2"/>
        </cx:series>
      </cx:plotAreaRegion>
      <cx:axis id="0">
        <cx:catScaling gapWidth="0"/>
        <cx:title>
          <cx:tx>
            <cx:txData>
              <cx:v>Edades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Edades</a:t>
              </a:r>
            </a:p>
          </cx:txPr>
        </cx:title>
        <cx:tickLabels/>
      </cx:axis>
      <cx:axis id="1">
        <cx:valScaling/>
        <cx:title>
          <cx:tx>
            <cx:txData>
              <cx:v>Frecuencias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Frecuencias</a:t>
              </a:r>
            </a:p>
          </cx:txPr>
        </cx:title>
        <cx:majorGridlines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_xlchart.v1.17</cx:f>
      </cx:numDim>
    </cx:data>
  </cx:chartData>
  <cx:chart>
    <cx:title pos="t" align="ctr" overlay="0">
      <cx:tx>
        <cx:txData>
          <cx:v>Frecuencias en % de intervalos de edad (tanda 1)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Frecuencias en % de intervalos de edad (tanda 1)</a:t>
          </a:r>
        </a:p>
      </cx:txPr>
    </cx:title>
    <cx:plotArea>
      <cx:plotAreaRegion>
        <cx:series layoutId="clusteredColumn" uniqueId="{723E8C00-5E34-437B-AE4E-16D9A975D81B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96A95BB0-637F-40C7-868E-D4CBD300ABC1}">
          <cx:spPr>
            <a:ln>
              <a:noFill/>
            </a:ln>
          </cx:spPr>
          <cx:axisId val="2"/>
        </cx:series>
      </cx:plotAreaRegion>
      <cx:axis id="0">
        <cx:catScaling gapWidth="0"/>
        <cx:title>
          <cx:tx>
            <cx:txData>
              <cx:v>Edades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Edades</a:t>
              </a:r>
            </a:p>
          </cx:txPr>
        </cx:title>
        <cx:tickLabels/>
      </cx:axis>
      <cx:axis id="1">
        <cx:valScaling/>
        <cx:title>
          <cx:tx>
            <cx:txData>
              <cx:v>Frecuencias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Frecuencias</a:t>
              </a:r>
            </a:p>
          </cx:txPr>
        </cx:title>
        <cx:majorGridlines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_xlchart.v1.15</cx:f>
      </cx:numDim>
    </cx:data>
  </cx:chartData>
  <cx:chart>
    <cx:title pos="t" align="ctr" overlay="0">
      <cx:tx>
        <cx:txData>
          <cx:v>Frecuencias en % de intervalos de edad (tanda 2)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Frecuencias en % de intervalos de edad (tanda 2)</a:t>
          </a:r>
        </a:p>
      </cx:txPr>
    </cx:title>
    <cx:plotArea>
      <cx:plotAreaRegion>
        <cx:series layoutId="clusteredColumn" uniqueId="{6F801DB7-9C72-47B1-83D0-02EF523E4EA0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A9B40929-3F84-4DA2-BF79-A0711FE57E82}">
          <cx:spPr>
            <a:ln>
              <a:noFill/>
            </a:ln>
          </cx:spPr>
          <cx:axisId val="2"/>
        </cx:series>
      </cx:plotAreaRegion>
      <cx:axis id="0">
        <cx:catScaling gapWidth="0"/>
        <cx:title>
          <cx:tx>
            <cx:txData>
              <cx:v>Edades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Edades</a:t>
              </a:r>
            </a:p>
          </cx:txPr>
        </cx:title>
        <cx:tickLabels/>
      </cx:axis>
      <cx:axis id="1">
        <cx:valScaling/>
        <cx:title>
          <cx:tx>
            <cx:txData>
              <cx:v>Frecuencias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Frecuencias</a:t>
              </a:r>
            </a:p>
          </cx:txPr>
        </cx:title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_xlchart.v1.11</cx:f>
      </cx:numDim>
    </cx:data>
  </cx:chartData>
  <cx:chart>
    <cx:title pos="t" align="ctr" overlay="0">
      <cx:tx>
        <cx:txData>
          <cx:v>Frecuencias en % de intervalos de edad (tanda 3)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Frecuencias en % de intervalos de edad (tanda 3)</a:t>
          </a:r>
        </a:p>
      </cx:txPr>
    </cx:title>
    <cx:plotArea>
      <cx:plotAreaRegion>
        <cx:series layoutId="clusteredColumn" uniqueId="{51435A3B-7135-4A03-BA27-689A8E242BE1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12BD0608-7563-407D-AE71-65A34B7DFED1}">
          <cx:spPr>
            <a:ln>
              <a:noFill/>
            </a:ln>
          </cx:spPr>
          <cx:axisId val="2"/>
        </cx:series>
      </cx:plotAreaRegion>
      <cx:axis id="0">
        <cx:catScaling gapWidth="0"/>
        <cx:title>
          <cx:tx>
            <cx:txData>
              <cx:v>Edades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Edades</a:t>
              </a:r>
            </a:p>
          </cx:txPr>
        </cx:title>
        <cx:tickLabels/>
      </cx:axis>
      <cx:axis id="1">
        <cx:valScaling/>
        <cx:title>
          <cx:tx>
            <cx:txData>
              <cx:v>Frecuencias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Frecuencias</a:t>
              </a:r>
            </a:p>
          </cx:txPr>
        </cx:title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title pos="t" align="ctr" overlay="0">
      <cx:tx>
        <cx:txData>
          <cx:v>Frecuencias en % de intervalos de pericia informática global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Frecuencias en % de intervalos de pericia informática global</a:t>
          </a:r>
        </a:p>
      </cx:txPr>
    </cx:title>
    <cx:plotArea>
      <cx:plotAreaRegion>
        <cx:series layoutId="clusteredColumn" uniqueId="{878B32CF-07FF-422B-A94D-A1D5962A16FD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567F385B-0329-405F-B2DE-C4A7F36077F2}">
          <cx:spPr>
            <a:ln>
              <a:noFill/>
            </a:ln>
          </cx:spPr>
          <cx:axisId val="2"/>
        </cx:series>
      </cx:plotAreaRegion>
      <cx:axis id="0">
        <cx:catScaling gapWidth="0"/>
        <cx:title>
          <cx:tx>
            <cx:txData>
              <cx:v>Pericia informática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Pericia informática</a:t>
              </a:r>
            </a:p>
          </cx:txPr>
        </cx:title>
        <cx:tickLabels/>
      </cx:axis>
      <cx:axis id="1">
        <cx:valScaling/>
        <cx:title>
          <cx:tx>
            <cx:txData>
              <cx:v>Frecuencia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Frecuencia</a:t>
              </a:r>
            </a:p>
          </cx:txPr>
        </cx:title>
        <cx:majorGridlines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Frecuencias en % de intervalos de pericia informática tanda 1 (usuario experto)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Frecuencias en % de intervalos de pericia informática tanda 1 (usuario experto)</a:t>
          </a:r>
        </a:p>
      </cx:txPr>
    </cx:title>
    <cx:plotArea>
      <cx:plotAreaRegion>
        <cx:series layoutId="clusteredColumn" uniqueId="{64A107EE-7874-4AE6-B370-9A547BA680E0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1E969669-9AEB-4B39-AEB6-AA6FB64DDD85}">
          <cx:spPr>
            <a:ln>
              <a:noFill/>
            </a:ln>
          </cx:spPr>
          <cx:axisId val="2"/>
        </cx:series>
      </cx:plotAreaRegion>
      <cx:axis id="0">
        <cx:catScaling gapWidth="0"/>
        <cx:title>
          <cx:tx>
            <cx:txData>
              <cx:v>Pericia informática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Pericia informática</a:t>
              </a:r>
            </a:p>
          </cx:txPr>
        </cx:title>
        <cx:tickLabels/>
      </cx:axis>
      <cx:axis id="1">
        <cx:valScaling/>
        <cx:title>
          <cx:tx>
            <cx:txData>
              <cx:v>Frecuencia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Frecuencia</a:t>
              </a:r>
            </a:p>
          </cx:txPr>
        </cx:title>
        <cx:majorGridlines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Frecuencias en % de intervalos de pericia informática tanda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Frecuencias en % de intervalos de pericia informática tanda 2</a:t>
          </a:r>
        </a:p>
      </cx:txPr>
    </cx:title>
    <cx:plotArea>
      <cx:plotAreaRegion>
        <cx:series layoutId="clusteredColumn" uniqueId="{982C87B4-414B-4B66-999A-FA8D13167186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D82BD1D1-927B-42BB-A262-456780400601}">
          <cx:spPr>
            <a:ln>
              <a:noFill/>
            </a:ln>
          </cx:spPr>
          <cx:axisId val="2"/>
        </cx:series>
      </cx:plotAreaRegion>
      <cx:axis id="0">
        <cx:catScaling gapWidth="0"/>
        <cx:title>
          <cx:tx>
            <cx:txData>
              <cx:v>Pericia informática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Pericia informática</a:t>
              </a:r>
            </a:p>
          </cx:txPr>
        </cx:title>
        <cx:tickLabels/>
      </cx:axis>
      <cx:axis id="1">
        <cx:valScaling/>
        <cx:title>
          <cx:tx>
            <cx:txData>
              <cx:v>Frecuencia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Frecuencia</a:t>
              </a:r>
            </a:p>
          </cx:txPr>
        </cx:title>
        <cx:majorGridlines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Frecuencias en % de intervalos de pericia informática tanda 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Frecuencias en % de intervalos de pericia informática tanda 3</a:t>
          </a:r>
        </a:p>
      </cx:txPr>
    </cx:title>
    <cx:plotArea>
      <cx:plotAreaRegion>
        <cx:series layoutId="clusteredColumn" uniqueId="{0EEC351C-9383-4FF9-868C-3CB162CDE507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3169775E-1F86-4801-97B0-A69F8559CCD7}">
          <cx:spPr>
            <a:ln>
              <a:noFill/>
            </a:ln>
          </cx:spPr>
          <cx:axisId val="2"/>
        </cx:series>
      </cx:plotAreaRegion>
      <cx:axis id="0">
        <cx:catScaling gapWidth="0"/>
        <cx:title>
          <cx:tx>
            <cx:txData>
              <cx:v>Pericia informática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Pericia informática</a:t>
              </a:r>
            </a:p>
          </cx:txPr>
        </cx:title>
        <cx:tickLabels/>
      </cx:axis>
      <cx:axis id="1">
        <cx:valScaling/>
        <cx:title>
          <cx:tx>
            <cx:txData>
              <cx:v>Frecuencia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Frecuencia</a:t>
              </a:r>
            </a:p>
          </cx:txPr>
        </cx:title>
        <cx:majorGridlines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5.xml"/><Relationship Id="rId3" Type="http://schemas.microsoft.com/office/2014/relationships/chartEx" Target="../charts/chartEx3.xml"/><Relationship Id="rId7" Type="http://schemas.openxmlformats.org/officeDocument/2006/relationships/chart" Target="../charts/chart3.xml"/><Relationship Id="rId12" Type="http://schemas.microsoft.com/office/2014/relationships/chartEx" Target="../charts/chartEx8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2.xml"/><Relationship Id="rId11" Type="http://schemas.microsoft.com/office/2014/relationships/chartEx" Target="../charts/chartEx7.xml"/><Relationship Id="rId5" Type="http://schemas.openxmlformats.org/officeDocument/2006/relationships/chart" Target="../charts/chart1.xml"/><Relationship Id="rId10" Type="http://schemas.microsoft.com/office/2014/relationships/chartEx" Target="../charts/chartEx6.xml"/><Relationship Id="rId4" Type="http://schemas.microsoft.com/office/2014/relationships/chartEx" Target="../charts/chartEx4.xml"/><Relationship Id="rId9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359567</xdr:colOff>
      <xdr:row>37</xdr:row>
      <xdr:rowOff>100013</xdr:rowOff>
    </xdr:from>
    <xdr:to>
      <xdr:col>4</xdr:col>
      <xdr:colOff>804861</xdr:colOff>
      <xdr:row>51</xdr:row>
      <xdr:rowOff>119061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CF87E3E-90C9-A76F-0501-F10B7B00FC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36517" y="6796088"/>
              <a:ext cx="3764757" cy="25526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383381</xdr:colOff>
      <xdr:row>66</xdr:row>
      <xdr:rowOff>180974</xdr:rowOff>
    </xdr:from>
    <xdr:to>
      <xdr:col>4</xdr:col>
      <xdr:colOff>1109662</xdr:colOff>
      <xdr:row>80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9889B69B-9FEF-914B-2E3D-19D9B906F9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60331" y="12125324"/>
              <a:ext cx="4045744" cy="24955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319087</xdr:colOff>
      <xdr:row>94</xdr:row>
      <xdr:rowOff>9526</xdr:rowOff>
    </xdr:from>
    <xdr:to>
      <xdr:col>4</xdr:col>
      <xdr:colOff>1571624</xdr:colOff>
      <xdr:row>109</xdr:row>
      <xdr:rowOff>38101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FBECD563-9C65-4267-9D29-26CC6441DB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96037" y="1702117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180975</xdr:colOff>
      <xdr:row>122</xdr:row>
      <xdr:rowOff>47625</xdr:rowOff>
    </xdr:from>
    <xdr:to>
      <xdr:col>4</xdr:col>
      <xdr:colOff>1433512</xdr:colOff>
      <xdr:row>137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ECD64A19-EBAE-49D9-9C25-B060663AA9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57925" y="221265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340518</xdr:colOff>
      <xdr:row>52</xdr:row>
      <xdr:rowOff>23811</xdr:rowOff>
    </xdr:from>
    <xdr:to>
      <xdr:col>4</xdr:col>
      <xdr:colOff>766762</xdr:colOff>
      <xdr:row>65</xdr:row>
      <xdr:rowOff>14285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53609E6-3B8C-0EAA-2F30-7E2A523C2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364331</xdr:colOff>
      <xdr:row>81</xdr:row>
      <xdr:rowOff>52388</xdr:rowOff>
    </xdr:from>
    <xdr:to>
      <xdr:col>4</xdr:col>
      <xdr:colOff>733425</xdr:colOff>
      <xdr:row>92</xdr:row>
      <xdr:rowOff>133350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D0D67B1-B062-77D3-51A3-C3B0FEF86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302418</xdr:colOff>
      <xdr:row>109</xdr:row>
      <xdr:rowOff>133350</xdr:rowOff>
    </xdr:from>
    <xdr:to>
      <xdr:col>4</xdr:col>
      <xdr:colOff>500062</xdr:colOff>
      <xdr:row>121</xdr:row>
      <xdr:rowOff>19050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6F2A0E7-D7D6-4057-6868-B1E4C1B08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154781</xdr:colOff>
      <xdr:row>138</xdr:row>
      <xdr:rowOff>28575</xdr:rowOff>
    </xdr:from>
    <xdr:to>
      <xdr:col>4</xdr:col>
      <xdr:colOff>633412</xdr:colOff>
      <xdr:row>151</xdr:row>
      <xdr:rowOff>57150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2D02A94-3227-F72C-483B-4189575AE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1007268</xdr:colOff>
      <xdr:row>37</xdr:row>
      <xdr:rowOff>90487</xdr:rowOff>
    </xdr:from>
    <xdr:to>
      <xdr:col>6</xdr:col>
      <xdr:colOff>442912</xdr:colOff>
      <xdr:row>54</xdr:row>
      <xdr:rowOff>38099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D8058D17-BDAD-0E9B-5A53-FB8F703614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03681" y="6786562"/>
              <a:ext cx="4902994" cy="30241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</xdr:col>
      <xdr:colOff>1552575</xdr:colOff>
      <xdr:row>66</xdr:row>
      <xdr:rowOff>138112</xdr:rowOff>
    </xdr:from>
    <xdr:to>
      <xdr:col>6</xdr:col>
      <xdr:colOff>988219</xdr:colOff>
      <xdr:row>83</xdr:row>
      <xdr:rowOff>85724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A2547EA5-E29D-495B-8A1A-49E7CC3E29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48988" y="12082462"/>
              <a:ext cx="4902994" cy="30241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</xdr:col>
      <xdr:colOff>1771650</xdr:colOff>
      <xdr:row>93</xdr:row>
      <xdr:rowOff>66675</xdr:rowOff>
    </xdr:from>
    <xdr:to>
      <xdr:col>6</xdr:col>
      <xdr:colOff>1207294</xdr:colOff>
      <xdr:row>110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5B58039A-F53F-499D-B97A-AA17E002CC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68063" y="16897350"/>
              <a:ext cx="4902994" cy="30241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</xdr:col>
      <xdr:colOff>1900237</xdr:colOff>
      <xdr:row>122</xdr:row>
      <xdr:rowOff>38099</xdr:rowOff>
    </xdr:from>
    <xdr:to>
      <xdr:col>7</xdr:col>
      <xdr:colOff>35719</xdr:colOff>
      <xdr:row>138</xdr:row>
      <xdr:rowOff>166686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FEE3C281-51B4-46BC-9042-5AC6D24965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96650" y="22117049"/>
              <a:ext cx="4902994" cy="30241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759619</xdr:colOff>
      <xdr:row>164</xdr:row>
      <xdr:rowOff>171451</xdr:rowOff>
    </xdr:from>
    <xdr:to>
      <xdr:col>2</xdr:col>
      <xdr:colOff>742951</xdr:colOff>
      <xdr:row>181</xdr:row>
      <xdr:rowOff>47625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7E8956AD-9FA3-D2D9-810B-44764D16D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2C18B-9DAD-4423-81EE-01845108CEDA}">
  <dimension ref="B2:M163"/>
  <sheetViews>
    <sheetView tabSelected="1" topLeftCell="D119" workbookViewId="0">
      <selection activeCell="F148" sqref="F148"/>
    </sheetView>
  </sheetViews>
  <sheetFormatPr baseColWidth="10" defaultRowHeight="14.25" x14ac:dyDescent="0.45"/>
  <cols>
    <col min="2" max="2" width="53.265625" customWidth="1"/>
    <col min="3" max="3" width="21.1328125" customWidth="1"/>
    <col min="4" max="4" width="46.46484375" customWidth="1"/>
    <col min="5" max="5" width="61.33203125" customWidth="1"/>
    <col min="6" max="6" width="15.19921875" customWidth="1"/>
    <col min="7" max="7" width="18.19921875" customWidth="1"/>
    <col min="8" max="8" width="16.46484375" customWidth="1"/>
    <col min="9" max="9" width="57.59765625" customWidth="1"/>
    <col min="10" max="10" width="51.265625" customWidth="1"/>
    <col min="11" max="11" width="12.46484375" customWidth="1"/>
  </cols>
  <sheetData>
    <row r="2" spans="2:11" x14ac:dyDescent="0.45">
      <c r="B2" s="7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I2" s="7" t="s">
        <v>0</v>
      </c>
      <c r="J2" s="5" t="s">
        <v>27</v>
      </c>
      <c r="K2" s="6" t="s">
        <v>28</v>
      </c>
    </row>
    <row r="3" spans="2:11" x14ac:dyDescent="0.45">
      <c r="B3" s="8" t="s">
        <v>7</v>
      </c>
      <c r="C3" s="1">
        <v>1</v>
      </c>
      <c r="D3" s="1" t="s">
        <v>9</v>
      </c>
      <c r="E3" s="1">
        <v>22</v>
      </c>
      <c r="F3" s="1" t="s">
        <v>10</v>
      </c>
      <c r="G3" s="2" t="s">
        <v>11</v>
      </c>
      <c r="I3" s="8" t="s">
        <v>29</v>
      </c>
      <c r="J3" s="1" t="s">
        <v>8</v>
      </c>
      <c r="K3" s="2" t="s">
        <v>30</v>
      </c>
    </row>
    <row r="4" spans="2:11" x14ac:dyDescent="0.45">
      <c r="B4" s="8" t="s">
        <v>7</v>
      </c>
      <c r="C4" s="1">
        <v>2</v>
      </c>
      <c r="D4" s="1" t="s">
        <v>13</v>
      </c>
      <c r="E4" s="1">
        <v>53</v>
      </c>
      <c r="F4" s="1" t="s">
        <v>14</v>
      </c>
      <c r="G4" s="2" t="s">
        <v>15</v>
      </c>
      <c r="I4" s="8" t="s">
        <v>29</v>
      </c>
      <c r="J4" s="1" t="s">
        <v>12</v>
      </c>
      <c r="K4" s="2" t="s">
        <v>31</v>
      </c>
    </row>
    <row r="5" spans="2:11" x14ac:dyDescent="0.45">
      <c r="B5" s="8" t="s">
        <v>7</v>
      </c>
      <c r="C5" s="1">
        <v>3</v>
      </c>
      <c r="D5" s="1" t="s">
        <v>17</v>
      </c>
      <c r="E5" s="1">
        <v>48</v>
      </c>
      <c r="F5" s="1" t="s">
        <v>10</v>
      </c>
      <c r="G5" s="2" t="s">
        <v>18</v>
      </c>
      <c r="I5" s="8" t="s">
        <v>29</v>
      </c>
      <c r="J5" s="1" t="s">
        <v>16</v>
      </c>
      <c r="K5" s="2" t="s">
        <v>30</v>
      </c>
    </row>
    <row r="6" spans="2:11" x14ac:dyDescent="0.45">
      <c r="B6" s="8" t="s">
        <v>7</v>
      </c>
      <c r="C6" s="1">
        <v>4</v>
      </c>
      <c r="D6" s="1" t="s">
        <v>17</v>
      </c>
      <c r="E6" s="1">
        <v>43</v>
      </c>
      <c r="F6" s="1" t="s">
        <v>14</v>
      </c>
      <c r="G6" s="2" t="s">
        <v>18</v>
      </c>
      <c r="I6" s="8" t="s">
        <v>29</v>
      </c>
      <c r="J6" s="1" t="s">
        <v>19</v>
      </c>
      <c r="K6" s="2" t="s">
        <v>32</v>
      </c>
    </row>
    <row r="7" spans="2:11" x14ac:dyDescent="0.45">
      <c r="B7" s="8" t="s">
        <v>7</v>
      </c>
      <c r="C7" s="1">
        <v>5</v>
      </c>
      <c r="D7" s="1" t="s">
        <v>22</v>
      </c>
      <c r="E7" s="1">
        <v>59</v>
      </c>
      <c r="F7" s="1" t="s">
        <v>14</v>
      </c>
      <c r="G7" s="2" t="s">
        <v>18</v>
      </c>
      <c r="I7" s="8" t="s">
        <v>29</v>
      </c>
      <c r="J7" s="1" t="s">
        <v>21</v>
      </c>
      <c r="K7" s="2" t="s">
        <v>31</v>
      </c>
    </row>
    <row r="8" spans="2:11" x14ac:dyDescent="0.45">
      <c r="B8" s="8" t="s">
        <v>7</v>
      </c>
      <c r="C8" s="1">
        <v>6</v>
      </c>
      <c r="D8" s="1" t="s">
        <v>24</v>
      </c>
      <c r="E8" s="1">
        <v>23</v>
      </c>
      <c r="F8" s="1" t="s">
        <v>14</v>
      </c>
      <c r="G8" s="2" t="s">
        <v>15</v>
      </c>
      <c r="I8" s="8" t="s">
        <v>29</v>
      </c>
      <c r="J8" s="1" t="s">
        <v>23</v>
      </c>
      <c r="K8" s="2" t="s">
        <v>30</v>
      </c>
    </row>
    <row r="9" spans="2:11" x14ac:dyDescent="0.45">
      <c r="B9" s="9" t="s">
        <v>7</v>
      </c>
      <c r="C9" s="3">
        <v>7</v>
      </c>
      <c r="D9" s="3" t="s">
        <v>26</v>
      </c>
      <c r="E9" s="3">
        <v>48</v>
      </c>
      <c r="F9" s="3" t="s">
        <v>10</v>
      </c>
      <c r="G9" s="4" t="s">
        <v>15</v>
      </c>
      <c r="I9" s="9" t="s">
        <v>29</v>
      </c>
      <c r="J9" s="3" t="s">
        <v>25</v>
      </c>
      <c r="K9" s="4" t="s">
        <v>32</v>
      </c>
    </row>
    <row r="11" spans="2:11" x14ac:dyDescent="0.45">
      <c r="B11" s="7" t="s">
        <v>0</v>
      </c>
      <c r="C11" s="5" t="s">
        <v>33</v>
      </c>
      <c r="D11" s="5" t="s">
        <v>1</v>
      </c>
      <c r="E11" s="5" t="s">
        <v>27</v>
      </c>
      <c r="F11" s="5" t="s">
        <v>34</v>
      </c>
      <c r="G11" s="5" t="s">
        <v>35</v>
      </c>
      <c r="H11" s="5" t="s">
        <v>36</v>
      </c>
      <c r="I11" s="5" t="s">
        <v>37</v>
      </c>
      <c r="J11" s="5" t="s">
        <v>38</v>
      </c>
      <c r="K11" s="6" t="s">
        <v>39</v>
      </c>
    </row>
    <row r="12" spans="2:11" x14ac:dyDescent="0.45">
      <c r="B12" s="8" t="s">
        <v>40</v>
      </c>
      <c r="C12" s="1" t="s">
        <v>8</v>
      </c>
      <c r="D12" s="1" t="s">
        <v>8</v>
      </c>
      <c r="E12" s="1" t="s">
        <v>8</v>
      </c>
      <c r="F12" s="1" t="s">
        <v>8</v>
      </c>
      <c r="G12" s="27">
        <v>1.1319444444444443E-3</v>
      </c>
      <c r="H12" s="1" t="s">
        <v>8</v>
      </c>
      <c r="I12" s="1" t="s">
        <v>41</v>
      </c>
      <c r="J12" s="1" t="s">
        <v>42</v>
      </c>
      <c r="K12" s="2">
        <v>9</v>
      </c>
    </row>
    <row r="13" spans="2:11" x14ac:dyDescent="0.45">
      <c r="B13" s="8" t="s">
        <v>40</v>
      </c>
      <c r="C13" s="1" t="s">
        <v>12</v>
      </c>
      <c r="D13" s="1" t="s">
        <v>12</v>
      </c>
      <c r="E13" s="1" t="s">
        <v>12</v>
      </c>
      <c r="F13" s="1" t="s">
        <v>12</v>
      </c>
      <c r="G13" s="27">
        <v>2.7233796296296298E-3</v>
      </c>
      <c r="H13" s="1" t="s">
        <v>8</v>
      </c>
      <c r="I13" s="1" t="s">
        <v>43</v>
      </c>
      <c r="J13" s="1" t="s">
        <v>44</v>
      </c>
      <c r="K13" s="2">
        <v>9</v>
      </c>
    </row>
    <row r="14" spans="2:11" x14ac:dyDescent="0.45">
      <c r="B14" s="8" t="s">
        <v>40</v>
      </c>
      <c r="C14" s="1" t="s">
        <v>16</v>
      </c>
      <c r="D14" s="1" t="s">
        <v>16</v>
      </c>
      <c r="E14" s="1" t="s">
        <v>16</v>
      </c>
      <c r="F14" s="1" t="s">
        <v>16</v>
      </c>
      <c r="G14" s="27">
        <v>1.9849537037037036E-3</v>
      </c>
      <c r="H14" s="1" t="s">
        <v>8</v>
      </c>
      <c r="I14" s="1" t="s">
        <v>45</v>
      </c>
      <c r="J14" s="1" t="s">
        <v>46</v>
      </c>
      <c r="K14" s="2">
        <v>8</v>
      </c>
    </row>
    <row r="15" spans="2:11" x14ac:dyDescent="0.45">
      <c r="B15" s="8" t="s">
        <v>40</v>
      </c>
      <c r="C15" s="1" t="s">
        <v>19</v>
      </c>
      <c r="D15" s="1" t="s">
        <v>19</v>
      </c>
      <c r="E15" s="1" t="s">
        <v>19</v>
      </c>
      <c r="F15" s="1" t="s">
        <v>19</v>
      </c>
      <c r="G15" s="27">
        <v>1.7534722222222222E-3</v>
      </c>
      <c r="H15" s="1" t="s">
        <v>8</v>
      </c>
      <c r="I15" s="1" t="s">
        <v>47</v>
      </c>
      <c r="J15" s="1" t="s">
        <v>48</v>
      </c>
      <c r="K15" s="2">
        <v>10</v>
      </c>
    </row>
    <row r="16" spans="2:11" x14ac:dyDescent="0.45">
      <c r="B16" s="8" t="s">
        <v>40</v>
      </c>
      <c r="C16" s="1" t="s">
        <v>21</v>
      </c>
      <c r="D16" s="1" t="s">
        <v>21</v>
      </c>
      <c r="E16" s="1" t="s">
        <v>21</v>
      </c>
      <c r="F16" s="1" t="s">
        <v>21</v>
      </c>
      <c r="G16" s="27">
        <v>1.6793981481481482E-3</v>
      </c>
      <c r="H16" s="1" t="s">
        <v>8</v>
      </c>
      <c r="I16" s="1" t="s">
        <v>49</v>
      </c>
      <c r="J16" s="1" t="s">
        <v>50</v>
      </c>
      <c r="K16" s="2">
        <v>10</v>
      </c>
    </row>
    <row r="17" spans="2:13" x14ac:dyDescent="0.45">
      <c r="B17" s="8" t="s">
        <v>40</v>
      </c>
      <c r="C17" s="1" t="s">
        <v>23</v>
      </c>
      <c r="D17" s="1" t="s">
        <v>23</v>
      </c>
      <c r="E17" s="1" t="s">
        <v>23</v>
      </c>
      <c r="F17" s="1" t="s">
        <v>23</v>
      </c>
      <c r="G17" s="27">
        <v>1.3333333333333333E-3</v>
      </c>
      <c r="H17" s="1" t="s">
        <v>8</v>
      </c>
      <c r="I17" s="1" t="s">
        <v>51</v>
      </c>
      <c r="J17" s="1" t="s">
        <v>52</v>
      </c>
      <c r="K17" s="2">
        <v>9</v>
      </c>
    </row>
    <row r="18" spans="2:13" x14ac:dyDescent="0.45">
      <c r="B18" s="9" t="s">
        <v>40</v>
      </c>
      <c r="C18" s="3" t="s">
        <v>25</v>
      </c>
      <c r="D18" s="3" t="s">
        <v>25</v>
      </c>
      <c r="E18" s="3" t="s">
        <v>25</v>
      </c>
      <c r="F18" s="3" t="s">
        <v>25</v>
      </c>
      <c r="G18" s="28">
        <v>1.2754629629629631E-3</v>
      </c>
      <c r="H18" s="3" t="s">
        <v>8</v>
      </c>
      <c r="I18" s="3" t="s">
        <v>53</v>
      </c>
      <c r="J18" s="3" t="s">
        <v>54</v>
      </c>
      <c r="K18" s="4">
        <v>10</v>
      </c>
    </row>
    <row r="20" spans="2:13" x14ac:dyDescent="0.45">
      <c r="B20" s="7" t="s">
        <v>0</v>
      </c>
      <c r="C20" s="5" t="s">
        <v>34</v>
      </c>
      <c r="D20" s="5" t="s">
        <v>64</v>
      </c>
      <c r="E20" s="5" t="s">
        <v>65</v>
      </c>
      <c r="F20" s="5" t="s">
        <v>66</v>
      </c>
      <c r="G20" s="5" t="s">
        <v>67</v>
      </c>
      <c r="H20" s="5" t="s">
        <v>68</v>
      </c>
      <c r="I20" s="5" t="s">
        <v>69</v>
      </c>
      <c r="J20" s="5" t="s">
        <v>70</v>
      </c>
      <c r="K20" s="5" t="s">
        <v>71</v>
      </c>
      <c r="L20" s="5" t="s">
        <v>72</v>
      </c>
      <c r="M20" s="6" t="s">
        <v>73</v>
      </c>
    </row>
    <row r="21" spans="2:13" x14ac:dyDescent="0.45">
      <c r="B21" s="8" t="s">
        <v>74</v>
      </c>
      <c r="C21" s="1" t="s">
        <v>8</v>
      </c>
      <c r="D21" s="1" t="s">
        <v>75</v>
      </c>
      <c r="E21" s="1" t="s">
        <v>76</v>
      </c>
      <c r="F21" s="1" t="s">
        <v>77</v>
      </c>
      <c r="G21" s="1" t="s">
        <v>78</v>
      </c>
      <c r="H21" s="1" t="s">
        <v>79</v>
      </c>
      <c r="I21" s="1" t="s">
        <v>80</v>
      </c>
      <c r="J21" s="1" t="s">
        <v>80</v>
      </c>
      <c r="K21" s="1" t="s">
        <v>80</v>
      </c>
      <c r="L21" s="1" t="s">
        <v>81</v>
      </c>
      <c r="M21" s="2" t="s">
        <v>20</v>
      </c>
    </row>
    <row r="22" spans="2:13" x14ac:dyDescent="0.45">
      <c r="B22" s="8" t="s">
        <v>74</v>
      </c>
      <c r="C22" s="1" t="s">
        <v>12</v>
      </c>
      <c r="D22" s="1" t="s">
        <v>82</v>
      </c>
      <c r="E22" s="1" t="s">
        <v>76</v>
      </c>
      <c r="F22" s="1" t="s">
        <v>77</v>
      </c>
      <c r="G22" s="1" t="s">
        <v>78</v>
      </c>
      <c r="H22" s="1" t="s">
        <v>79</v>
      </c>
      <c r="I22" s="1" t="s">
        <v>80</v>
      </c>
      <c r="J22" s="1" t="s">
        <v>80</v>
      </c>
      <c r="K22" s="1" t="s">
        <v>80</v>
      </c>
      <c r="L22" s="1" t="s">
        <v>81</v>
      </c>
      <c r="M22" s="2" t="s">
        <v>20</v>
      </c>
    </row>
    <row r="23" spans="2:13" x14ac:dyDescent="0.45">
      <c r="B23" s="8" t="s">
        <v>74</v>
      </c>
      <c r="C23" s="1" t="s">
        <v>16</v>
      </c>
      <c r="D23" s="1" t="s">
        <v>75</v>
      </c>
      <c r="E23" s="1" t="s">
        <v>76</v>
      </c>
      <c r="F23" s="1" t="s">
        <v>77</v>
      </c>
      <c r="G23" s="1" t="s">
        <v>78</v>
      </c>
      <c r="H23" s="1" t="s">
        <v>79</v>
      </c>
      <c r="I23" s="1" t="s">
        <v>80</v>
      </c>
      <c r="J23" s="1" t="s">
        <v>80</v>
      </c>
      <c r="K23" s="1" t="s">
        <v>80</v>
      </c>
      <c r="L23" s="1" t="s">
        <v>81</v>
      </c>
      <c r="M23" s="2" t="s">
        <v>20</v>
      </c>
    </row>
    <row r="24" spans="2:13" x14ac:dyDescent="0.45">
      <c r="B24" s="8" t="s">
        <v>74</v>
      </c>
      <c r="C24" s="1" t="s">
        <v>19</v>
      </c>
      <c r="D24" s="1" t="s">
        <v>83</v>
      </c>
      <c r="E24" s="1" t="s">
        <v>76</v>
      </c>
      <c r="F24" s="1" t="s">
        <v>84</v>
      </c>
      <c r="G24" s="1" t="s">
        <v>78</v>
      </c>
      <c r="H24" s="1" t="s">
        <v>79</v>
      </c>
      <c r="I24" s="1" t="s">
        <v>80</v>
      </c>
      <c r="J24" s="1" t="s">
        <v>80</v>
      </c>
      <c r="K24" s="1" t="s">
        <v>80</v>
      </c>
      <c r="L24" s="1" t="s">
        <v>81</v>
      </c>
      <c r="M24" s="2" t="s">
        <v>20</v>
      </c>
    </row>
    <row r="25" spans="2:13" x14ac:dyDescent="0.45">
      <c r="B25" s="8" t="s">
        <v>74</v>
      </c>
      <c r="C25" s="1" t="s">
        <v>21</v>
      </c>
      <c r="D25" s="1" t="s">
        <v>85</v>
      </c>
      <c r="E25" s="1" t="s">
        <v>76</v>
      </c>
      <c r="F25" s="1" t="s">
        <v>77</v>
      </c>
      <c r="G25" s="1" t="s">
        <v>86</v>
      </c>
      <c r="H25" s="1" t="s">
        <v>79</v>
      </c>
      <c r="I25" s="1" t="s">
        <v>80</v>
      </c>
      <c r="J25" s="1" t="s">
        <v>80</v>
      </c>
      <c r="K25" s="1" t="s">
        <v>80</v>
      </c>
      <c r="L25" s="1" t="s">
        <v>81</v>
      </c>
      <c r="M25" s="2" t="s">
        <v>20</v>
      </c>
    </row>
    <row r="26" spans="2:13" x14ac:dyDescent="0.45">
      <c r="B26" s="8" t="s">
        <v>74</v>
      </c>
      <c r="C26" s="1" t="s">
        <v>23</v>
      </c>
      <c r="D26" s="1" t="s">
        <v>87</v>
      </c>
      <c r="E26" s="1" t="s">
        <v>76</v>
      </c>
      <c r="F26" s="1" t="s">
        <v>77</v>
      </c>
      <c r="G26" s="1" t="s">
        <v>78</v>
      </c>
      <c r="H26" s="1" t="s">
        <v>79</v>
      </c>
      <c r="I26" s="1" t="s">
        <v>80</v>
      </c>
      <c r="J26" s="1" t="s">
        <v>80</v>
      </c>
      <c r="K26" s="1" t="s">
        <v>80</v>
      </c>
      <c r="L26" s="1" t="s">
        <v>81</v>
      </c>
      <c r="M26" s="2" t="s">
        <v>20</v>
      </c>
    </row>
    <row r="27" spans="2:13" x14ac:dyDescent="0.45">
      <c r="B27" s="9" t="s">
        <v>74</v>
      </c>
      <c r="C27" s="3" t="s">
        <v>25</v>
      </c>
      <c r="D27" s="3" t="s">
        <v>75</v>
      </c>
      <c r="E27" s="3" t="s">
        <v>76</v>
      </c>
      <c r="F27" s="3" t="s">
        <v>77</v>
      </c>
      <c r="G27" s="3" t="s">
        <v>78</v>
      </c>
      <c r="H27" s="3" t="s">
        <v>79</v>
      </c>
      <c r="I27" s="3" t="s">
        <v>80</v>
      </c>
      <c r="J27" s="3" t="s">
        <v>80</v>
      </c>
      <c r="K27" s="3" t="s">
        <v>80</v>
      </c>
      <c r="L27" s="3" t="s">
        <v>81</v>
      </c>
      <c r="M27" s="4" t="s">
        <v>20</v>
      </c>
    </row>
    <row r="29" spans="2:13" x14ac:dyDescent="0.45">
      <c r="B29" s="7" t="s">
        <v>0</v>
      </c>
      <c r="C29" s="5" t="s">
        <v>55</v>
      </c>
      <c r="D29" s="5" t="s">
        <v>33</v>
      </c>
      <c r="E29" s="6" t="s">
        <v>37</v>
      </c>
    </row>
    <row r="30" spans="2:13" x14ac:dyDescent="0.45">
      <c r="B30" s="8" t="s">
        <v>56</v>
      </c>
      <c r="C30" s="1" t="s">
        <v>8</v>
      </c>
      <c r="D30" s="1" t="s">
        <v>8</v>
      </c>
      <c r="E30" s="2" t="s">
        <v>57</v>
      </c>
    </row>
    <row r="31" spans="2:13" x14ac:dyDescent="0.45">
      <c r="B31" s="8" t="s">
        <v>56</v>
      </c>
      <c r="C31" s="1" t="s">
        <v>12</v>
      </c>
      <c r="D31" s="1" t="s">
        <v>12</v>
      </c>
      <c r="E31" s="2" t="s">
        <v>58</v>
      </c>
    </row>
    <row r="32" spans="2:13" x14ac:dyDescent="0.45">
      <c r="B32" s="8" t="s">
        <v>56</v>
      </c>
      <c r="C32" s="1" t="s">
        <v>16</v>
      </c>
      <c r="D32" s="1" t="s">
        <v>16</v>
      </c>
      <c r="E32" s="2" t="s">
        <v>59</v>
      </c>
    </row>
    <row r="33" spans="2:5" x14ac:dyDescent="0.45">
      <c r="B33" s="8" t="s">
        <v>56</v>
      </c>
      <c r="C33" s="1" t="s">
        <v>19</v>
      </c>
      <c r="D33" s="1" t="s">
        <v>19</v>
      </c>
      <c r="E33" s="2" t="s">
        <v>60</v>
      </c>
    </row>
    <row r="34" spans="2:5" x14ac:dyDescent="0.45">
      <c r="B34" s="8" t="s">
        <v>56</v>
      </c>
      <c r="C34" s="1" t="s">
        <v>21</v>
      </c>
      <c r="D34" s="1" t="s">
        <v>21</v>
      </c>
      <c r="E34" s="2" t="s">
        <v>61</v>
      </c>
    </row>
    <row r="35" spans="2:5" x14ac:dyDescent="0.45">
      <c r="B35" s="8" t="s">
        <v>56</v>
      </c>
      <c r="C35" s="1" t="s">
        <v>23</v>
      </c>
      <c r="D35" s="1" t="s">
        <v>23</v>
      </c>
      <c r="E35" s="2" t="s">
        <v>62</v>
      </c>
    </row>
    <row r="36" spans="2:5" x14ac:dyDescent="0.45">
      <c r="B36" s="9" t="s">
        <v>56</v>
      </c>
      <c r="C36" s="3" t="s">
        <v>25</v>
      </c>
      <c r="D36" s="3" t="s">
        <v>25</v>
      </c>
      <c r="E36" s="4" t="s">
        <v>63</v>
      </c>
    </row>
    <row r="39" spans="2:5" x14ac:dyDescent="0.45">
      <c r="B39" s="12" t="s">
        <v>101</v>
      </c>
    </row>
    <row r="40" spans="2:5" x14ac:dyDescent="0.45">
      <c r="B40" s="5"/>
    </row>
    <row r="41" spans="2:5" x14ac:dyDescent="0.45">
      <c r="B41" s="13" t="s">
        <v>100</v>
      </c>
      <c r="C41" s="20">
        <f>SUM(E3:E9)/7</f>
        <v>42.285714285714285</v>
      </c>
    </row>
    <row r="42" spans="2:5" x14ac:dyDescent="0.45">
      <c r="B42" s="14"/>
    </row>
    <row r="43" spans="2:5" x14ac:dyDescent="0.45">
      <c r="B43" s="16" t="s">
        <v>88</v>
      </c>
      <c r="C43" s="25"/>
    </row>
    <row r="44" spans="2:5" x14ac:dyDescent="0.45">
      <c r="B44" s="17" t="s">
        <v>89</v>
      </c>
      <c r="C44" s="21">
        <f>COUNTIFS(E3:E9, "&gt;=0", E3:E9, "&lt;=20")/7</f>
        <v>0</v>
      </c>
    </row>
    <row r="45" spans="2:5" x14ac:dyDescent="0.45">
      <c r="B45" s="10" t="s">
        <v>90</v>
      </c>
      <c r="C45" s="21">
        <f>COUNTIFS(E3:E9, "&gt;=20", E3:E9, "&lt;=30")/7</f>
        <v>0.2857142857142857</v>
      </c>
    </row>
    <row r="46" spans="2:5" x14ac:dyDescent="0.45">
      <c r="B46" s="10" t="s">
        <v>91</v>
      </c>
      <c r="C46" s="21">
        <f>COUNTIFS(E3:E9, "&gt;=30", E3:E9, "&lt;=40")/7</f>
        <v>0</v>
      </c>
    </row>
    <row r="47" spans="2:5" x14ac:dyDescent="0.45">
      <c r="B47" s="10" t="s">
        <v>92</v>
      </c>
      <c r="C47" s="21">
        <f>COUNTIFS(E3:E9, "&gt;=40", E3:E9, "&lt;=65")/7</f>
        <v>0.7142857142857143</v>
      </c>
    </row>
    <row r="48" spans="2:5" x14ac:dyDescent="0.45">
      <c r="B48" s="18" t="s">
        <v>93</v>
      </c>
      <c r="C48" s="22">
        <f>COUNTIFS(E3:E9, "&gt;=65")/7</f>
        <v>0</v>
      </c>
    </row>
    <row r="49" spans="2:3" x14ac:dyDescent="0.45">
      <c r="B49" s="14"/>
    </row>
    <row r="50" spans="2:3" x14ac:dyDescent="0.45">
      <c r="B50" s="16" t="s">
        <v>94</v>
      </c>
      <c r="C50" s="25"/>
    </row>
    <row r="51" spans="2:3" x14ac:dyDescent="0.45">
      <c r="B51" s="11" t="s">
        <v>10</v>
      </c>
      <c r="C51" s="21">
        <f>COUNTIF(F3:F9, "Hombre")/7</f>
        <v>0.42857142857142855</v>
      </c>
    </row>
    <row r="52" spans="2:3" x14ac:dyDescent="0.45">
      <c r="B52" s="11" t="s">
        <v>14</v>
      </c>
      <c r="C52" s="21">
        <f>COUNTIF(F3:F9, "Mujer")/7</f>
        <v>0.5714285714285714</v>
      </c>
    </row>
    <row r="53" spans="2:3" x14ac:dyDescent="0.45">
      <c r="B53" s="19" t="s">
        <v>95</v>
      </c>
      <c r="C53" s="22">
        <f>COUNTIF(F3:F9, "Otro")/7</f>
        <v>0</v>
      </c>
    </row>
    <row r="54" spans="2:3" x14ac:dyDescent="0.45">
      <c r="B54" s="15" t="s">
        <v>6</v>
      </c>
    </row>
    <row r="55" spans="2:3" x14ac:dyDescent="0.45">
      <c r="B55" s="16" t="s">
        <v>96</v>
      </c>
      <c r="C55" s="25"/>
    </row>
    <row r="56" spans="2:3" x14ac:dyDescent="0.45">
      <c r="B56" s="11" t="s">
        <v>11</v>
      </c>
      <c r="C56" s="21">
        <f>COUNTIF(G3:G9, "Alta")/7</f>
        <v>0.14285714285714285</v>
      </c>
    </row>
    <row r="57" spans="2:3" x14ac:dyDescent="0.45">
      <c r="B57" s="11" t="s">
        <v>15</v>
      </c>
      <c r="C57" s="21">
        <f>COUNTIF(G3:G9, "Media")/7</f>
        <v>0.42857142857142855</v>
      </c>
    </row>
    <row r="58" spans="2:3" x14ac:dyDescent="0.45">
      <c r="B58" s="19" t="s">
        <v>18</v>
      </c>
      <c r="C58" s="22">
        <f>COUNTIF(G3:G9, "Baja")/7</f>
        <v>0.42857142857142855</v>
      </c>
    </row>
    <row r="59" spans="2:3" x14ac:dyDescent="0.45">
      <c r="B59" s="15"/>
    </row>
    <row r="60" spans="2:3" x14ac:dyDescent="0.45">
      <c r="B60" s="13" t="s">
        <v>105</v>
      </c>
      <c r="C60" s="29">
        <f>SUM(G12:G18)/7</f>
        <v>1.697420634920635E-3</v>
      </c>
    </row>
    <row r="61" spans="2:3" x14ac:dyDescent="0.45">
      <c r="B61" s="15"/>
    </row>
    <row r="62" spans="2:3" x14ac:dyDescent="0.45">
      <c r="B62" s="13" t="s">
        <v>98</v>
      </c>
      <c r="C62" s="23">
        <f>COUNTIF(H12:H18, "1")/7</f>
        <v>1</v>
      </c>
    </row>
    <row r="63" spans="2:3" x14ac:dyDescent="0.45">
      <c r="B63" s="15"/>
    </row>
    <row r="64" spans="2:3" x14ac:dyDescent="0.45">
      <c r="B64" s="13" t="s">
        <v>99</v>
      </c>
      <c r="C64" s="24">
        <f>SUM(K12:K18)/7</f>
        <v>9.2857142857142865</v>
      </c>
    </row>
    <row r="67" spans="2:3" x14ac:dyDescent="0.45">
      <c r="B67" s="12" t="s">
        <v>104</v>
      </c>
    </row>
    <row r="68" spans="2:3" x14ac:dyDescent="0.45">
      <c r="B68" s="5"/>
    </row>
    <row r="69" spans="2:3" x14ac:dyDescent="0.45">
      <c r="B69" s="13" t="s">
        <v>100</v>
      </c>
      <c r="C69" s="26">
        <f>E3</f>
        <v>22</v>
      </c>
    </row>
    <row r="70" spans="2:3" x14ac:dyDescent="0.45">
      <c r="B70" s="14"/>
    </row>
    <row r="71" spans="2:3" x14ac:dyDescent="0.45">
      <c r="B71" s="16" t="s">
        <v>88</v>
      </c>
      <c r="C71" s="25"/>
    </row>
    <row r="72" spans="2:3" x14ac:dyDescent="0.45">
      <c r="B72" s="17" t="s">
        <v>89</v>
      </c>
      <c r="C72" s="21">
        <f>COUNTIFS(E3, "&gt;=0", E3, "&lt;=20")/1</f>
        <v>0</v>
      </c>
    </row>
    <row r="73" spans="2:3" x14ac:dyDescent="0.45">
      <c r="B73" s="10" t="s">
        <v>90</v>
      </c>
      <c r="C73" s="21">
        <f>COUNTIFS(E3, "&gt;=20", E3, "&lt;=30")/1</f>
        <v>1</v>
      </c>
    </row>
    <row r="74" spans="2:3" x14ac:dyDescent="0.45">
      <c r="B74" s="10" t="s">
        <v>91</v>
      </c>
      <c r="C74" s="21">
        <f>COUNTIFS(E3, "&gt;=30", E3, "&lt;=40")/1</f>
        <v>0</v>
      </c>
    </row>
    <row r="75" spans="2:3" x14ac:dyDescent="0.45">
      <c r="B75" s="10" t="s">
        <v>92</v>
      </c>
      <c r="C75" s="21">
        <f>COUNTIFS(E3, "&gt;=40", E3, "&lt;=65")/1</f>
        <v>0</v>
      </c>
    </row>
    <row r="76" spans="2:3" x14ac:dyDescent="0.45">
      <c r="B76" s="18" t="s">
        <v>93</v>
      </c>
      <c r="C76" s="22">
        <f>COUNTIFS(E3, "&gt;=65")/1</f>
        <v>0</v>
      </c>
    </row>
    <row r="77" spans="2:3" x14ac:dyDescent="0.45">
      <c r="B77" s="14"/>
    </row>
    <row r="78" spans="2:3" x14ac:dyDescent="0.45">
      <c r="B78" s="16" t="s">
        <v>94</v>
      </c>
      <c r="C78" s="25"/>
    </row>
    <row r="79" spans="2:3" x14ac:dyDescent="0.45">
      <c r="B79" s="11" t="s">
        <v>10</v>
      </c>
      <c r="C79" s="21">
        <f>COUNTIF(F3, "Hombre")/1</f>
        <v>1</v>
      </c>
    </row>
    <row r="80" spans="2:3" x14ac:dyDescent="0.45">
      <c r="B80" s="11" t="s">
        <v>14</v>
      </c>
      <c r="C80" s="21">
        <f>COUNTIF(F3, "Mujer")/1</f>
        <v>0</v>
      </c>
    </row>
    <row r="81" spans="2:3" x14ac:dyDescent="0.45">
      <c r="B81" s="19" t="s">
        <v>95</v>
      </c>
      <c r="C81" s="22">
        <f>COUNTIF(F3, "Otro")/1</f>
        <v>0</v>
      </c>
    </row>
    <row r="82" spans="2:3" x14ac:dyDescent="0.45">
      <c r="B82" s="15" t="s">
        <v>6</v>
      </c>
    </row>
    <row r="83" spans="2:3" x14ac:dyDescent="0.45">
      <c r="B83" s="16" t="s">
        <v>96</v>
      </c>
      <c r="C83" s="25"/>
    </row>
    <row r="84" spans="2:3" x14ac:dyDescent="0.45">
      <c r="B84" s="11" t="s">
        <v>11</v>
      </c>
      <c r="C84" s="21">
        <f>COUNTIF(G3, "Alta")/1</f>
        <v>1</v>
      </c>
    </row>
    <row r="85" spans="2:3" x14ac:dyDescent="0.45">
      <c r="B85" s="11" t="s">
        <v>15</v>
      </c>
      <c r="C85" s="21">
        <f>COUNTIF(G3, "Media")/1</f>
        <v>0</v>
      </c>
    </row>
    <row r="86" spans="2:3" x14ac:dyDescent="0.45">
      <c r="B86" s="19" t="s">
        <v>18</v>
      </c>
      <c r="C86" s="22">
        <f>COUNTIF(G3, "Baja")/1</f>
        <v>0</v>
      </c>
    </row>
    <row r="87" spans="2:3" x14ac:dyDescent="0.45">
      <c r="B87" s="15"/>
    </row>
    <row r="88" spans="2:3" x14ac:dyDescent="0.45">
      <c r="B88" s="13" t="s">
        <v>108</v>
      </c>
      <c r="C88" s="29">
        <f>SUM(G12:G12)/1</f>
        <v>1.1319444444444443E-3</v>
      </c>
    </row>
    <row r="89" spans="2:3" x14ac:dyDescent="0.45">
      <c r="B89" s="15"/>
    </row>
    <row r="90" spans="2:3" x14ac:dyDescent="0.45">
      <c r="B90" s="13" t="s">
        <v>98</v>
      </c>
      <c r="C90" s="23">
        <f>COUNTIF(H12, "1")/1</f>
        <v>1</v>
      </c>
    </row>
    <row r="91" spans="2:3" x14ac:dyDescent="0.45">
      <c r="B91" s="15"/>
    </row>
    <row r="92" spans="2:3" x14ac:dyDescent="0.45">
      <c r="B92" s="13" t="s">
        <v>99</v>
      </c>
      <c r="C92" s="24">
        <f>SUM(K12)/1</f>
        <v>9</v>
      </c>
    </row>
    <row r="95" spans="2:3" x14ac:dyDescent="0.45">
      <c r="B95" s="12" t="s">
        <v>102</v>
      </c>
    </row>
    <row r="96" spans="2:3" x14ac:dyDescent="0.45">
      <c r="B96" s="5"/>
    </row>
    <row r="97" spans="2:3" x14ac:dyDescent="0.45">
      <c r="B97" s="13" t="s">
        <v>100</v>
      </c>
      <c r="C97" s="20">
        <f>SUM(E4:E6)/3</f>
        <v>48</v>
      </c>
    </row>
    <row r="98" spans="2:3" x14ac:dyDescent="0.45">
      <c r="B98" s="14"/>
    </row>
    <row r="99" spans="2:3" x14ac:dyDescent="0.45">
      <c r="B99" s="16" t="s">
        <v>88</v>
      </c>
      <c r="C99" s="25"/>
    </row>
    <row r="100" spans="2:3" x14ac:dyDescent="0.45">
      <c r="B100" s="17" t="s">
        <v>89</v>
      </c>
      <c r="C100" s="21">
        <f>COUNTIFS(E4:E6, "&gt;=0", E4:E6, "&lt;=20")/3</f>
        <v>0</v>
      </c>
    </row>
    <row r="101" spans="2:3" x14ac:dyDescent="0.45">
      <c r="B101" s="10" t="s">
        <v>90</v>
      </c>
      <c r="C101" s="21">
        <f>COUNTIFS(E4:E6, "&gt;=20", E4:E6, "&lt;=30")/3</f>
        <v>0</v>
      </c>
    </row>
    <row r="102" spans="2:3" x14ac:dyDescent="0.45">
      <c r="B102" s="10" t="s">
        <v>91</v>
      </c>
      <c r="C102" s="21">
        <f>COUNTIFS(E4:E6, "&gt;=30", E4:E6, "&lt;=40")/3</f>
        <v>0</v>
      </c>
    </row>
    <row r="103" spans="2:3" x14ac:dyDescent="0.45">
      <c r="B103" s="10" t="s">
        <v>92</v>
      </c>
      <c r="C103" s="21">
        <f>COUNTIFS(E4:E6, "&gt;=40", E4:E6, "&lt;=65")/3</f>
        <v>1</v>
      </c>
    </row>
    <row r="104" spans="2:3" x14ac:dyDescent="0.45">
      <c r="B104" s="18" t="s">
        <v>93</v>
      </c>
      <c r="C104" s="22">
        <f>COUNTIFS(E4:E6, "&gt;=65")/3</f>
        <v>0</v>
      </c>
    </row>
    <row r="105" spans="2:3" x14ac:dyDescent="0.45">
      <c r="B105" s="14"/>
    </row>
    <row r="106" spans="2:3" x14ac:dyDescent="0.45">
      <c r="B106" s="16" t="s">
        <v>94</v>
      </c>
      <c r="C106" s="25"/>
    </row>
    <row r="107" spans="2:3" x14ac:dyDescent="0.45">
      <c r="B107" s="11" t="s">
        <v>10</v>
      </c>
      <c r="C107" s="21">
        <f>COUNTIF(F4:F6, "Hombre")/3</f>
        <v>0.33333333333333331</v>
      </c>
    </row>
    <row r="108" spans="2:3" x14ac:dyDescent="0.45">
      <c r="B108" s="11" t="s">
        <v>14</v>
      </c>
      <c r="C108" s="21">
        <f>COUNTIF(F4:F6, "Mujer")/3</f>
        <v>0.66666666666666663</v>
      </c>
    </row>
    <row r="109" spans="2:3" x14ac:dyDescent="0.45">
      <c r="B109" s="19" t="s">
        <v>95</v>
      </c>
      <c r="C109" s="22">
        <f>COUNTIF(F4:F6, "Otro")/3</f>
        <v>0</v>
      </c>
    </row>
    <row r="110" spans="2:3" x14ac:dyDescent="0.45">
      <c r="B110" s="15" t="s">
        <v>6</v>
      </c>
    </row>
    <row r="111" spans="2:3" x14ac:dyDescent="0.45">
      <c r="B111" s="16" t="s">
        <v>96</v>
      </c>
      <c r="C111" s="25"/>
    </row>
    <row r="112" spans="2:3" x14ac:dyDescent="0.45">
      <c r="B112" s="11" t="s">
        <v>11</v>
      </c>
      <c r="C112" s="21">
        <f>COUNTIF(G4:G6, "Alta")/3</f>
        <v>0</v>
      </c>
    </row>
    <row r="113" spans="2:3" x14ac:dyDescent="0.45">
      <c r="B113" s="11" t="s">
        <v>15</v>
      </c>
      <c r="C113" s="21">
        <f>COUNTIF(G4:G6, "Media")/3</f>
        <v>0.33333333333333331</v>
      </c>
    </row>
    <row r="114" spans="2:3" x14ac:dyDescent="0.45">
      <c r="B114" s="19" t="s">
        <v>18</v>
      </c>
      <c r="C114" s="22">
        <f>COUNTIF(G4:G6, "Baja")/3</f>
        <v>0.66666666666666663</v>
      </c>
    </row>
    <row r="115" spans="2:3" x14ac:dyDescent="0.45">
      <c r="B115" s="15"/>
    </row>
    <row r="116" spans="2:3" x14ac:dyDescent="0.45">
      <c r="B116" s="13" t="s">
        <v>107</v>
      </c>
      <c r="C116" s="29">
        <f>SUM(G13:G15)/3</f>
        <v>2.1539351851851854E-3</v>
      </c>
    </row>
    <row r="117" spans="2:3" x14ac:dyDescent="0.45">
      <c r="B117" s="15"/>
    </row>
    <row r="118" spans="2:3" x14ac:dyDescent="0.45">
      <c r="B118" s="13" t="s">
        <v>98</v>
      </c>
      <c r="C118" s="23">
        <f>COUNTIF(H13:H15, "1")/3</f>
        <v>1</v>
      </c>
    </row>
    <row r="119" spans="2:3" x14ac:dyDescent="0.45">
      <c r="B119" s="15"/>
    </row>
    <row r="120" spans="2:3" x14ac:dyDescent="0.45">
      <c r="B120" s="13" t="s">
        <v>99</v>
      </c>
      <c r="C120" s="24">
        <f>SUM(K13:K15)/3</f>
        <v>9</v>
      </c>
    </row>
    <row r="123" spans="2:3" x14ac:dyDescent="0.45">
      <c r="B123" s="12" t="s">
        <v>103</v>
      </c>
    </row>
    <row r="124" spans="2:3" x14ac:dyDescent="0.45">
      <c r="B124" s="5"/>
    </row>
    <row r="125" spans="2:3" x14ac:dyDescent="0.45">
      <c r="B125" s="13" t="s">
        <v>100</v>
      </c>
      <c r="C125" s="20">
        <f>SUM(E7:E9)/7</f>
        <v>18.571428571428573</v>
      </c>
    </row>
    <row r="126" spans="2:3" x14ac:dyDescent="0.45">
      <c r="B126" s="14"/>
    </row>
    <row r="127" spans="2:3" x14ac:dyDescent="0.45">
      <c r="B127" s="16" t="s">
        <v>88</v>
      </c>
      <c r="C127" s="25"/>
    </row>
    <row r="128" spans="2:3" x14ac:dyDescent="0.45">
      <c r="B128" s="17" t="s">
        <v>89</v>
      </c>
      <c r="C128" s="21">
        <f>COUNTIFS(E7:E9, "&gt;=0",E7:E9, "&lt;=20")/3</f>
        <v>0</v>
      </c>
    </row>
    <row r="129" spans="2:3" x14ac:dyDescent="0.45">
      <c r="B129" s="10" t="s">
        <v>90</v>
      </c>
      <c r="C129" s="21">
        <f>COUNTIFS(E7:E9, "&gt;=20",E7:E9, "&lt;=30")/3</f>
        <v>0.33333333333333331</v>
      </c>
    </row>
    <row r="130" spans="2:3" x14ac:dyDescent="0.45">
      <c r="B130" s="10" t="s">
        <v>91</v>
      </c>
      <c r="C130" s="21">
        <f>COUNTIFS(E7:E9, "&gt;=30",E7:E9, "&lt;=40")/3</f>
        <v>0</v>
      </c>
    </row>
    <row r="131" spans="2:3" x14ac:dyDescent="0.45">
      <c r="B131" s="10" t="s">
        <v>92</v>
      </c>
      <c r="C131" s="21">
        <f>COUNTIFS(E7:E9, "&gt;=40",E7:E9, "&lt;=65")/3</f>
        <v>0.66666666666666663</v>
      </c>
    </row>
    <row r="132" spans="2:3" x14ac:dyDescent="0.45">
      <c r="B132" s="18" t="s">
        <v>93</v>
      </c>
      <c r="C132" s="22">
        <f>COUNTIFS(E7:E9, "&gt;=65")/3</f>
        <v>0</v>
      </c>
    </row>
    <row r="133" spans="2:3" x14ac:dyDescent="0.45">
      <c r="B133" s="14"/>
    </row>
    <row r="134" spans="2:3" x14ac:dyDescent="0.45">
      <c r="B134" s="16" t="s">
        <v>94</v>
      </c>
      <c r="C134" s="25"/>
    </row>
    <row r="135" spans="2:3" x14ac:dyDescent="0.45">
      <c r="B135" s="11" t="s">
        <v>10</v>
      </c>
      <c r="C135" s="21">
        <f>COUNTIF(F7:F9, "Hombre")/3</f>
        <v>0.33333333333333331</v>
      </c>
    </row>
    <row r="136" spans="2:3" x14ac:dyDescent="0.45">
      <c r="B136" s="11" t="s">
        <v>14</v>
      </c>
      <c r="C136" s="21">
        <f>COUNTIF(F7:F9, "Mujer")/3</f>
        <v>0.66666666666666663</v>
      </c>
    </row>
    <row r="137" spans="2:3" x14ac:dyDescent="0.45">
      <c r="B137" s="19" t="s">
        <v>95</v>
      </c>
      <c r="C137" s="22">
        <f>COUNTIF(F7:F9, "Otro")/3</f>
        <v>0</v>
      </c>
    </row>
    <row r="138" spans="2:3" x14ac:dyDescent="0.45">
      <c r="B138" s="15" t="s">
        <v>6</v>
      </c>
    </row>
    <row r="139" spans="2:3" x14ac:dyDescent="0.45">
      <c r="B139" s="16" t="s">
        <v>96</v>
      </c>
      <c r="C139" s="25"/>
    </row>
    <row r="140" spans="2:3" x14ac:dyDescent="0.45">
      <c r="B140" s="11" t="s">
        <v>11</v>
      </c>
      <c r="C140" s="21">
        <f>COUNTIF(G7:G9, "Alta")/3</f>
        <v>0</v>
      </c>
    </row>
    <row r="141" spans="2:3" x14ac:dyDescent="0.45">
      <c r="B141" s="11" t="s">
        <v>15</v>
      </c>
      <c r="C141" s="21">
        <f>COUNTIF(G7:G9, "Media")/3</f>
        <v>0.66666666666666663</v>
      </c>
    </row>
    <row r="142" spans="2:3" x14ac:dyDescent="0.45">
      <c r="B142" s="19" t="s">
        <v>18</v>
      </c>
      <c r="C142" s="22">
        <f>COUNTIF(G7:G9, "Baja")/3</f>
        <v>0.33333333333333331</v>
      </c>
    </row>
    <row r="143" spans="2:3" x14ac:dyDescent="0.45">
      <c r="B143" s="15"/>
    </row>
    <row r="144" spans="2:3" x14ac:dyDescent="0.45">
      <c r="B144" s="13" t="s">
        <v>106</v>
      </c>
      <c r="C144" s="29">
        <f>SUM(G16:G18)/3</f>
        <v>1.4293981481481484E-3</v>
      </c>
    </row>
    <row r="145" spans="2:6" x14ac:dyDescent="0.45">
      <c r="B145" s="15"/>
    </row>
    <row r="146" spans="2:6" x14ac:dyDescent="0.45">
      <c r="B146" s="13" t="s">
        <v>98</v>
      </c>
      <c r="C146" s="23">
        <f>COUNTIF(H16:H18, "1")/3</f>
        <v>1</v>
      </c>
    </row>
    <row r="147" spans="2:6" x14ac:dyDescent="0.45">
      <c r="B147" s="15"/>
    </row>
    <row r="148" spans="2:6" x14ac:dyDescent="0.45">
      <c r="B148" s="13" t="s">
        <v>99</v>
      </c>
      <c r="C148" s="24">
        <f>SUM(K16:K18)/3</f>
        <v>9.6666666666666661</v>
      </c>
    </row>
    <row r="156" spans="2:6" x14ac:dyDescent="0.45">
      <c r="B156" s="7" t="s">
        <v>97</v>
      </c>
      <c r="C156" s="6" t="s">
        <v>112</v>
      </c>
      <c r="D156" s="7" t="s">
        <v>110</v>
      </c>
      <c r="E156" s="7" t="s">
        <v>111</v>
      </c>
      <c r="F156" s="7" t="s">
        <v>109</v>
      </c>
    </row>
    <row r="157" spans="2:6" x14ac:dyDescent="0.45">
      <c r="B157" s="8" t="s">
        <v>113</v>
      </c>
      <c r="C157" s="30">
        <f>G12</f>
        <v>1.1319444444444443E-3</v>
      </c>
      <c r="D157" s="34">
        <f>G13</f>
        <v>2.7233796296296298E-3</v>
      </c>
      <c r="E157" s="34">
        <f>G16</f>
        <v>1.6793981481481482E-3</v>
      </c>
      <c r="F157" s="34">
        <f>G12</f>
        <v>1.1319444444444443E-3</v>
      </c>
    </row>
    <row r="158" spans="2:6" x14ac:dyDescent="0.45">
      <c r="B158" s="8" t="s">
        <v>114</v>
      </c>
      <c r="C158" s="30" t="s">
        <v>116</v>
      </c>
      <c r="D158" s="34">
        <f t="shared" ref="D158:D159" si="0">G14</f>
        <v>1.9849537037037036E-3</v>
      </c>
      <c r="E158" s="34">
        <f t="shared" ref="E158:E159" si="1">G17</f>
        <v>1.3333333333333333E-3</v>
      </c>
      <c r="F158" s="34">
        <f t="shared" ref="F158:F163" si="2">G13</f>
        <v>2.7233796296296298E-3</v>
      </c>
    </row>
    <row r="159" spans="2:6" x14ac:dyDescent="0.45">
      <c r="B159" s="8" t="s">
        <v>115</v>
      </c>
      <c r="C159" s="30" t="s">
        <v>116</v>
      </c>
      <c r="D159" s="34">
        <f t="shared" si="0"/>
        <v>1.7534722222222222E-3</v>
      </c>
      <c r="E159" s="34">
        <f t="shared" si="1"/>
        <v>1.2754629629629631E-3</v>
      </c>
      <c r="F159" s="34">
        <f t="shared" si="2"/>
        <v>1.9849537037037036E-3</v>
      </c>
    </row>
    <row r="160" spans="2:6" x14ac:dyDescent="0.45">
      <c r="B160" s="8" t="s">
        <v>117</v>
      </c>
      <c r="C160" s="34" t="s">
        <v>116</v>
      </c>
      <c r="D160" s="32" t="s">
        <v>116</v>
      </c>
      <c r="E160" s="32" t="s">
        <v>116</v>
      </c>
      <c r="F160" s="30">
        <f t="shared" si="2"/>
        <v>1.7534722222222222E-3</v>
      </c>
    </row>
    <row r="161" spans="2:6" x14ac:dyDescent="0.45">
      <c r="B161" s="8" t="s">
        <v>118</v>
      </c>
      <c r="C161" s="32" t="s">
        <v>116</v>
      </c>
      <c r="D161" s="32" t="s">
        <v>116</v>
      </c>
      <c r="E161" s="32" t="s">
        <v>116</v>
      </c>
      <c r="F161" s="30">
        <f t="shared" si="2"/>
        <v>1.6793981481481482E-3</v>
      </c>
    </row>
    <row r="162" spans="2:6" x14ac:dyDescent="0.45">
      <c r="B162" s="8" t="s">
        <v>119</v>
      </c>
      <c r="C162" s="32" t="s">
        <v>116</v>
      </c>
      <c r="D162" s="32" t="s">
        <v>116</v>
      </c>
      <c r="E162" s="32" t="s">
        <v>116</v>
      </c>
      <c r="F162" s="30">
        <f t="shared" si="2"/>
        <v>1.3333333333333333E-3</v>
      </c>
    </row>
    <row r="163" spans="2:6" x14ac:dyDescent="0.45">
      <c r="B163" s="9" t="s">
        <v>120</v>
      </c>
      <c r="C163" s="33" t="s">
        <v>116</v>
      </c>
      <c r="D163" s="33" t="s">
        <v>116</v>
      </c>
      <c r="E163" s="33" t="s">
        <v>116</v>
      </c>
      <c r="F163" s="31">
        <f t="shared" si="2"/>
        <v>1.2754629629629631E-3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697CDB-4428-4827-93A0-254F6CECFB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fresgur</dc:creator>
  <cp:lastModifiedBy>sergio fresgur</cp:lastModifiedBy>
  <dcterms:created xsi:type="dcterms:W3CDTF">2025-12-19T12:09:31Z</dcterms:created>
  <dcterms:modified xsi:type="dcterms:W3CDTF">2025-12-19T15:39:27Z</dcterms:modified>
</cp:coreProperties>
</file>